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51600" windowHeight="17730" activeTab="1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2" l="1"/>
  <c r="G2" i="2"/>
  <c r="G3" i="2"/>
  <c r="G4" i="2"/>
  <c r="G5" i="2"/>
  <c r="F3" i="2"/>
  <c r="F4" i="2"/>
  <c r="F5" i="2"/>
  <c r="F2" i="2"/>
  <c r="E3" i="2"/>
  <c r="E4" i="2"/>
  <c r="E5" i="2"/>
  <c r="E2" i="2"/>
  <c r="B11" i="1"/>
  <c r="B10" i="1"/>
  <c r="B9" i="1"/>
  <c r="E7" i="1" l="1"/>
  <c r="F7" i="1"/>
  <c r="D7" i="1"/>
  <c r="B7" i="1"/>
  <c r="K3" i="1"/>
  <c r="K4" i="1"/>
  <c r="K5" i="1"/>
  <c r="K6" i="1"/>
  <c r="J3" i="1"/>
  <c r="J4" i="1"/>
  <c r="J5" i="1"/>
  <c r="J6" i="1"/>
  <c r="K2" i="1"/>
  <c r="J2" i="1"/>
  <c r="D3" i="1"/>
  <c r="E3" i="1" s="1"/>
  <c r="D4" i="1"/>
  <c r="E4" i="1" s="1"/>
  <c r="D5" i="1"/>
  <c r="E5" i="1" s="1"/>
  <c r="D6" i="1"/>
  <c r="E6" i="1" s="1"/>
  <c r="D2" i="1"/>
  <c r="E2" i="1" s="1"/>
  <c r="F2" i="1" l="1"/>
  <c r="F6" i="1"/>
  <c r="F5" i="1"/>
  <c r="F4" i="1"/>
  <c r="F3" i="1"/>
</calcChain>
</file>

<file path=xl/sharedStrings.xml><?xml version="1.0" encoding="utf-8"?>
<sst xmlns="http://schemas.openxmlformats.org/spreadsheetml/2006/main" count="30" uniqueCount="30">
  <si>
    <t>ФИО сотрудника</t>
  </si>
  <si>
    <t>Оклад (руб.)</t>
  </si>
  <si>
    <t>Премия(%)</t>
  </si>
  <si>
    <t>Премия(руб.)</t>
  </si>
  <si>
    <t>НДФЛ(13%)</t>
  </si>
  <si>
    <t>К выдаче</t>
  </si>
  <si>
    <t>Иванов И.И.</t>
  </si>
  <si>
    <t>Петров П.П.</t>
  </si>
  <si>
    <t>Сидоров С.С.</t>
  </si>
  <si>
    <t>Кузнецова К.К.</t>
  </si>
  <si>
    <t>Смирнов С.С.</t>
  </si>
  <si>
    <t>№ п/п</t>
  </si>
  <si>
    <t>Ставка НДФЛ</t>
  </si>
  <si>
    <t>Коэффициент</t>
  </si>
  <si>
    <t>ИТОГО</t>
  </si>
  <si>
    <t>средняя зарплата</t>
  </si>
  <si>
    <t>Максимум</t>
  </si>
  <si>
    <t>Минимум</t>
  </si>
  <si>
    <t>Товар</t>
  </si>
  <si>
    <t>Цена за ед.</t>
  </si>
  <si>
    <t>Кол-во</t>
  </si>
  <si>
    <t>Скидка %</t>
  </si>
  <si>
    <t>Стоимость</t>
  </si>
  <si>
    <t>Итог со скидкой</t>
  </si>
  <si>
    <t>Ноутбук</t>
  </si>
  <si>
    <t>Монитор</t>
  </si>
  <si>
    <t>Клавиатура</t>
  </si>
  <si>
    <t>Мышь</t>
  </si>
  <si>
    <t>Расчет НДС</t>
  </si>
  <si>
    <t>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</si>
</sst>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[$₽-419]_-;\-* #,##0.00\ [$₽-419]_-;_-* &quot;-&quot;??\ [$₽-419]_-;_-@_-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  <xf numFmtId="164" fontId="0" fillId="0" borderId="0" xfId="0" quotePrefix="1" applyNumberFormat="1"/>
    <xf numFmtId="0" fontId="0" fillId="3" borderId="0" xfId="0" applyFill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A11" sqref="A11"/>
    </sheetView>
  </sheetViews>
  <sheetFormatPr defaultRowHeight="15" x14ac:dyDescent="0.25"/>
  <cols>
    <col min="1" max="1" width="21.7109375" customWidth="1"/>
    <col min="2" max="2" width="12.42578125" customWidth="1"/>
    <col min="3" max="3" width="11.7109375" customWidth="1"/>
    <col min="4" max="4" width="13.42578125" style="3" customWidth="1"/>
    <col min="5" max="5" width="19.42578125" style="3" customWidth="1"/>
    <col min="6" max="6" width="13.85546875" style="3" customWidth="1"/>
    <col min="7" max="7" width="14.140625" customWidth="1"/>
    <col min="8" max="8" width="16.85546875" customWidth="1"/>
    <col min="9" max="9" width="16.28515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11</v>
      </c>
      <c r="H1" s="2" t="s">
        <v>12</v>
      </c>
      <c r="I1" s="2" t="s">
        <v>13</v>
      </c>
    </row>
    <row r="2" spans="1:11" x14ac:dyDescent="0.25">
      <c r="A2" t="s">
        <v>6</v>
      </c>
      <c r="B2">
        <v>50000</v>
      </c>
      <c r="C2">
        <v>20</v>
      </c>
      <c r="D2" s="3">
        <f>B2*C2/100</f>
        <v>10000</v>
      </c>
      <c r="E2" s="4">
        <f>(B2+D2)*$H$2</f>
        <v>9000</v>
      </c>
      <c r="F2" s="3">
        <f>B2+D2-E2</f>
        <v>51000</v>
      </c>
      <c r="G2">
        <v>1</v>
      </c>
      <c r="H2">
        <v>0.15</v>
      </c>
      <c r="I2">
        <v>1.5</v>
      </c>
      <c r="J2">
        <f>B2*$I$2</f>
        <v>75000</v>
      </c>
      <c r="K2">
        <f>B2*$I$2</f>
        <v>75000</v>
      </c>
    </row>
    <row r="3" spans="1:11" x14ac:dyDescent="0.25">
      <c r="A3" t="s">
        <v>7</v>
      </c>
      <c r="B3">
        <v>45000</v>
      </c>
      <c r="C3">
        <v>15</v>
      </c>
      <c r="D3" s="3">
        <f t="shared" ref="D3:D6" si="0">B3*C3/100</f>
        <v>6750</v>
      </c>
      <c r="E3" s="4">
        <f t="shared" ref="E3:E6" si="1">(B3+D3)*$H$2</f>
        <v>7762.5</v>
      </c>
      <c r="F3" s="3">
        <f t="shared" ref="F3:F6" si="2">B3+D3-E3</f>
        <v>43987.5</v>
      </c>
      <c r="G3">
        <v>2</v>
      </c>
      <c r="H3" s="5"/>
      <c r="J3">
        <f t="shared" ref="J3:J6" si="3">B3*$I$2</f>
        <v>67500</v>
      </c>
      <c r="K3">
        <f t="shared" ref="K3:K6" si="4">B3*$I$2</f>
        <v>67500</v>
      </c>
    </row>
    <row r="4" spans="1:11" x14ac:dyDescent="0.25">
      <c r="A4" t="s">
        <v>8</v>
      </c>
      <c r="B4">
        <v>62000</v>
      </c>
      <c r="C4">
        <v>25</v>
      </c>
      <c r="D4" s="3">
        <f t="shared" si="0"/>
        <v>15500</v>
      </c>
      <c r="E4" s="4">
        <f t="shared" si="1"/>
        <v>11625</v>
      </c>
      <c r="F4" s="3">
        <f t="shared" si="2"/>
        <v>65875</v>
      </c>
      <c r="G4">
        <v>3</v>
      </c>
      <c r="J4">
        <f t="shared" si="3"/>
        <v>93000</v>
      </c>
      <c r="K4">
        <f t="shared" si="4"/>
        <v>93000</v>
      </c>
    </row>
    <row r="5" spans="1:11" x14ac:dyDescent="0.25">
      <c r="A5" t="s">
        <v>9</v>
      </c>
      <c r="B5">
        <v>55000</v>
      </c>
      <c r="C5">
        <v>10</v>
      </c>
      <c r="D5" s="3">
        <f t="shared" si="0"/>
        <v>5500</v>
      </c>
      <c r="E5" s="4">
        <f t="shared" si="1"/>
        <v>9075</v>
      </c>
      <c r="F5" s="3">
        <f t="shared" si="2"/>
        <v>51425</v>
      </c>
      <c r="G5">
        <v>4</v>
      </c>
      <c r="J5">
        <f t="shared" si="3"/>
        <v>82500</v>
      </c>
      <c r="K5">
        <f t="shared" si="4"/>
        <v>82500</v>
      </c>
    </row>
    <row r="6" spans="1:11" x14ac:dyDescent="0.25">
      <c r="A6" t="s">
        <v>10</v>
      </c>
      <c r="B6">
        <v>40000</v>
      </c>
      <c r="C6">
        <v>30</v>
      </c>
      <c r="D6" s="3">
        <f t="shared" si="0"/>
        <v>12000</v>
      </c>
      <c r="E6" s="4">
        <f t="shared" si="1"/>
        <v>7800</v>
      </c>
      <c r="F6" s="3">
        <f t="shared" si="2"/>
        <v>44200</v>
      </c>
      <c r="G6">
        <v>5</v>
      </c>
      <c r="J6">
        <f t="shared" si="3"/>
        <v>60000</v>
      </c>
      <c r="K6">
        <f t="shared" si="4"/>
        <v>60000</v>
      </c>
    </row>
    <row r="7" spans="1:11" x14ac:dyDescent="0.25">
      <c r="A7" t="s">
        <v>14</v>
      </c>
      <c r="B7">
        <f>SUM(B2:B6)</f>
        <v>252000</v>
      </c>
      <c r="D7" s="3">
        <f>SUM(B2:B6)</f>
        <v>252000</v>
      </c>
      <c r="E7" s="3">
        <f t="shared" ref="E7:F7" si="5">SUM(C2:C6)</f>
        <v>100</v>
      </c>
      <c r="F7" s="3">
        <f t="shared" si="5"/>
        <v>49750</v>
      </c>
    </row>
    <row r="9" spans="1:11" x14ac:dyDescent="0.25">
      <c r="A9" t="s">
        <v>15</v>
      </c>
      <c r="B9" s="3">
        <f>AVERAGE(F2:F6)</f>
        <v>51297.5</v>
      </c>
    </row>
    <row r="10" spans="1:11" x14ac:dyDescent="0.25">
      <c r="A10" t="s">
        <v>16</v>
      </c>
      <c r="B10" s="3">
        <f>MAX(F2:F6)</f>
        <v>65875</v>
      </c>
    </row>
    <row r="11" spans="1:11" x14ac:dyDescent="0.25">
      <c r="A11" t="s">
        <v>17</v>
      </c>
      <c r="B11" s="3">
        <f>MIN(F2:F6)</f>
        <v>43987.5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F6" sqref="F6"/>
    </sheetView>
  </sheetViews>
  <sheetFormatPr defaultRowHeight="15" x14ac:dyDescent="0.25"/>
  <cols>
    <col min="1" max="1" width="14" customWidth="1"/>
    <col min="2" max="2" width="11.5703125" customWidth="1"/>
    <col min="5" max="5" width="11.140625" customWidth="1"/>
    <col min="6" max="6" width="16.28515625" customWidth="1"/>
    <col min="7" max="7" width="15.7109375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28</v>
      </c>
      <c r="H1" s="6">
        <v>0.2</v>
      </c>
    </row>
    <row r="2" spans="1:8" x14ac:dyDescent="0.25">
      <c r="A2" t="s">
        <v>24</v>
      </c>
      <c r="B2">
        <v>45000</v>
      </c>
      <c r="C2">
        <v>5</v>
      </c>
      <c r="D2">
        <v>5</v>
      </c>
      <c r="E2">
        <f>B2*C2</f>
        <v>225000</v>
      </c>
      <c r="F2">
        <f>E2*(1-D2/100)</f>
        <v>213750</v>
      </c>
      <c r="G2">
        <f>E2*$H$1</f>
        <v>45000</v>
      </c>
    </row>
    <row r="3" spans="1:8" x14ac:dyDescent="0.25">
      <c r="A3" t="s">
        <v>25</v>
      </c>
      <c r="B3">
        <v>18000</v>
      </c>
      <c r="C3">
        <v>10</v>
      </c>
      <c r="D3">
        <v>3</v>
      </c>
      <c r="E3">
        <f t="shared" ref="E3:E5" si="0">B3*C3</f>
        <v>180000</v>
      </c>
      <c r="F3">
        <f t="shared" ref="F3:F5" si="1">E3*(1-D3/100)</f>
        <v>174600</v>
      </c>
      <c r="G3">
        <f t="shared" ref="G3:G5" si="2">E3*$H$1</f>
        <v>36000</v>
      </c>
    </row>
    <row r="4" spans="1:8" x14ac:dyDescent="0.25">
      <c r="A4" t="s">
        <v>26</v>
      </c>
      <c r="B4">
        <v>1500</v>
      </c>
      <c r="C4">
        <v>25</v>
      </c>
      <c r="D4">
        <v>10</v>
      </c>
      <c r="E4">
        <f t="shared" si="0"/>
        <v>37500</v>
      </c>
      <c r="F4">
        <f t="shared" si="1"/>
        <v>33750</v>
      </c>
      <c r="G4">
        <f t="shared" si="2"/>
        <v>7500</v>
      </c>
    </row>
    <row r="5" spans="1:8" x14ac:dyDescent="0.25">
      <c r="A5" t="s">
        <v>27</v>
      </c>
      <c r="B5">
        <v>800</v>
      </c>
      <c r="C5">
        <v>30</v>
      </c>
      <c r="D5">
        <v>7</v>
      </c>
      <c r="E5">
        <f t="shared" si="0"/>
        <v>24000</v>
      </c>
      <c r="F5">
        <f t="shared" si="1"/>
        <v>22320</v>
      </c>
      <c r="G5">
        <f t="shared" si="2"/>
        <v>4800</v>
      </c>
    </row>
    <row r="6" spans="1:8" x14ac:dyDescent="0.25">
      <c r="E6" t="s">
        <v>29</v>
      </c>
      <c r="F6">
        <f>SUM(F2:F5)</f>
        <v>444420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2026-09-22T11:34:34Z</dcterms:created>
  <dcterms:modified xsi:type="dcterms:W3CDTF">2026-10-13T10:46:05Z</dcterms:modified>
</cp:coreProperties>
</file>